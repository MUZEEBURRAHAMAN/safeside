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ights" sheetId="2" state="visible" r:id="rId4"/>
    <sheet name="Calibr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<sst xmlns="http://schemas.openxmlformats.org/spreadsheetml/2006/main" count="263" uniqueCount="150">
  <si>
    <t xml:space="preserve">Scoring Calibration Workbook — AI Food Scanner</t>
  </si>
  <si>
    <t xml:space="preserve">What this is: a test harness for the v1 scoring formula (docs/SCORING_METHODOLOGY.md). 50 real products across the spectrum, incl. deliberate edge cases that break competitors.</t>
  </si>
  <si>
    <t xml:space="preserve">HONEST NOTE ON INPUTS: NOVA group, Nutri-Score, and additive tiers are REPRESENTATIVE values for these well-known products — accurate in kind, not pulled live from Open Food Facts in this session. Before finalising weights, replace with a live OFF/USDA pull (the harness reads the same columns).</t>
  </si>
  <si>
    <t xml:space="preserve">How to calibrate: go to the Weights sheet, change the three weights (Processing / Nutrition / Additives). The SCORE and Band columns recompute. Ask: do the RELATIVE rankings feel fair? Mark the 'Feels right?' column y/n and note disagreements.</t>
  </si>
  <si>
    <t xml:space="preserve">Watch these edge cases (bold rows on Calibration):</t>
  </si>
  <si>
    <t xml:space="preserve">• Sparkling water (high) vs Diet cola (low) — proves processing weighting beats 'diet = healthy'.</t>
  </si>
  <si>
    <t xml:space="preserve">• Cheddar cheese vs Froot Loops — the classic Yuka failure; cheese should not lose to sugary cereal.</t>
  </si>
  <si>
    <t xml:space="preserve">• Deli ham / bacon — nitrite is higher-concern, but the additive floor(30) stops one additive tanking the score (anti-Yuka).</t>
  </si>
  <si>
    <t xml:space="preserve">• Olive oil — whole food with a middling Nutri-Score; check it still lands respectably.</t>
  </si>
  <si>
    <t xml:space="preserve">Scale: 0-100, higher = lower-processed/better. Bands: 75-100 Lower-processed (green), 45-74 Moderate (amber), 0-44 Higher-processed (clay). Deliberately non-alarmist — no 'toxic' red.</t>
  </si>
  <si>
    <t xml:space="preserve">Next step after calibration: lock the tuned weights back into docs/SCORING_METHODOLOGY.md and, ideally, have a dietitian sanity-check the rankings.</t>
  </si>
  <si>
    <t xml:space="preserve">SCORING WEIGHTS &amp; MAPPINGS (edit these to calibrate)</t>
  </si>
  <si>
    <t xml:space="preserve">Composite weights (must sum to 1.0)</t>
  </si>
  <si>
    <t xml:space="preserve">Processing weight</t>
  </si>
  <si>
    <t xml:space="preserve">Nutrition weight</t>
  </si>
  <si>
    <t xml:space="preserve">Additives weight</t>
  </si>
  <si>
    <t xml:space="preserve">SUM (should = 1.0)</t>
  </si>
  <si>
    <t xml:space="preserve">NOVA → processing sub-score</t>
  </si>
  <si>
    <t xml:space="preserve">NOVA 1 (unprocessed)</t>
  </si>
  <si>
    <t xml:space="preserve">NOVA 2 (culinary ingredient)</t>
  </si>
  <si>
    <t xml:space="preserve">NOVA 3 (processed)</t>
  </si>
  <si>
    <t xml:space="preserve">NOVA 4 (ultra-processed)</t>
  </si>
  <si>
    <t xml:space="preserve">Nutri-Score → nutrition sub-score</t>
  </si>
  <si>
    <t xml:space="preserve">Nutri A</t>
  </si>
  <si>
    <t xml:space="preserve">Nutri B</t>
  </si>
  <si>
    <t xml:space="preserve">Nutri C</t>
  </si>
  <si>
    <t xml:space="preserve">Nutri D</t>
  </si>
  <si>
    <t xml:space="preserve">Nutri E</t>
  </si>
  <si>
    <t xml:space="preserve">Additive penalties (start 100, floor 30)</t>
  </si>
  <si>
    <t xml:space="preserve">Low concern</t>
  </si>
  <si>
    <t xml:space="preserve">0 / 0</t>
  </si>
  <si>
    <t xml:space="preserve">Moderate</t>
  </si>
  <si>
    <t xml:space="preserve">-6 first / -3 each more</t>
  </si>
  <si>
    <t xml:space="preserve">Higher concern</t>
  </si>
  <si>
    <t xml:space="preserve">-15 first / -8 each more</t>
  </si>
  <si>
    <t xml:space="preserve">Floor (min additive sub-score)</t>
  </si>
  <si>
    <t xml:space="preserve">#</t>
  </si>
  <si>
    <t xml:space="preserve">Product</t>
  </si>
  <si>
    <t xml:space="preserve">Category</t>
  </si>
  <si>
    <t xml:space="preserve">NOVA</t>
  </si>
  <si>
    <t xml:space="preserve">Nutri</t>
  </si>
  <si>
    <t xml:space="preserve">Additives</t>
  </si>
  <si>
    <t xml:space="preserve">Proc sub</t>
  </si>
  <si>
    <t xml:space="preserve">Nutr sub</t>
  </si>
  <si>
    <t xml:space="preserve">Add sub</t>
  </si>
  <si>
    <t xml:space="preserve">SCORE</t>
  </si>
  <si>
    <t xml:space="preserve">Band</t>
  </si>
  <si>
    <t xml:space="preserve">Feels right? (y/n)</t>
  </si>
  <si>
    <t xml:space="preserve">Notes / edge case</t>
  </si>
  <si>
    <t xml:space="preserve">Extra-virgin olive oil</t>
  </si>
  <si>
    <t xml:space="preserve">Oil</t>
  </si>
  <si>
    <t xml:space="preserve">C</t>
  </si>
  <si>
    <t xml:space="preserve">0</t>
  </si>
  <si>
    <t xml:space="preserve">Whole-food fat; Nutri-Score dings fat, processing pristine</t>
  </si>
  <si>
    <t xml:space="preserve">Fresh banana</t>
  </si>
  <si>
    <t xml:space="preserve">Fruit</t>
  </si>
  <si>
    <t xml:space="preserve">A</t>
  </si>
  <si>
    <t xml:space="preserve">Baseline whole food</t>
  </si>
  <si>
    <t xml:space="preserve">Raw almonds</t>
  </si>
  <si>
    <t xml:space="preserve">Nuts</t>
  </si>
  <si>
    <t xml:space="preserve">Rolled oats (plain)</t>
  </si>
  <si>
    <t xml:space="preserve">Grain</t>
  </si>
  <si>
    <t xml:space="preserve">White rice</t>
  </si>
  <si>
    <t xml:space="preserve">Frozen peas (plain)</t>
  </si>
  <si>
    <t xml:space="preserve">Vegetable</t>
  </si>
  <si>
    <t xml:space="preserve">Whole milk</t>
  </si>
  <si>
    <t xml:space="preserve">Dairy</t>
  </si>
  <si>
    <t xml:space="preserve">B</t>
  </si>
  <si>
    <t xml:space="preserve">Plain Greek yogurt</t>
  </si>
  <si>
    <t xml:space="preserve">Sparkling water (plain)</t>
  </si>
  <si>
    <t xml:space="preserve">Beverage</t>
  </si>
  <si>
    <t xml:space="preserve">CONTRAST to diet soda → should score high</t>
  </si>
  <si>
    <t xml:space="preserve">Honey (pure)</t>
  </si>
  <si>
    <t xml:space="preserve">Sweetener</t>
  </si>
  <si>
    <t xml:space="preserve">D</t>
  </si>
  <si>
    <t xml:space="preserve">Whole but high sugar</t>
  </si>
  <si>
    <t xml:space="preserve">Pure maple syrup</t>
  </si>
  <si>
    <t xml:space="preserve">Natural peanut butter (peanuts only)</t>
  </si>
  <si>
    <t xml:space="preserve">Spread</t>
  </si>
  <si>
    <t xml:space="preserve">Butter</t>
  </si>
  <si>
    <t xml:space="preserve">Dairy fat</t>
  </si>
  <si>
    <t xml:space="preserve">Sat fat dings nutrition</t>
  </si>
  <si>
    <t xml:space="preserve">Cheddar cheese</t>
  </si>
  <si>
    <t xml:space="preserve">EDGE: nutrient-dense; compare vs sugary cereal</t>
  </si>
  <si>
    <t xml:space="preserve">Canned chickpeas</t>
  </si>
  <si>
    <t xml:space="preserve">Legume</t>
  </si>
  <si>
    <t xml:space="preserve">Hummus</t>
  </si>
  <si>
    <t xml:space="preserve">1 (low)</t>
  </si>
  <si>
    <t xml:space="preserve">Tofu</t>
  </si>
  <si>
    <t xml:space="preserve">Protein</t>
  </si>
  <si>
    <t xml:space="preserve">Sourdough bread (artisan)</t>
  </si>
  <si>
    <t xml:space="preserve">Bakery</t>
  </si>
  <si>
    <t xml:space="preserve">Salted roasted peanuts</t>
  </si>
  <si>
    <t xml:space="preserve">Dark chocolate 85%</t>
  </si>
  <si>
    <t xml:space="preserve">Confectionery</t>
  </si>
  <si>
    <t xml:space="preserve">Potato chips (plain salted)</t>
  </si>
  <si>
    <t xml:space="preserve">Snack</t>
  </si>
  <si>
    <t xml:space="preserve">Ketchup</t>
  </si>
  <si>
    <t xml:space="preserve">Condiment</t>
  </si>
  <si>
    <t xml:space="preserve">Mustard</t>
  </si>
  <si>
    <t xml:space="preserve">Kombucha</t>
  </si>
  <si>
    <t xml:space="preserve">100% orange juice</t>
  </si>
  <si>
    <t xml:space="preserve">Whole but sugar-heavy</t>
  </si>
  <si>
    <t xml:space="preserve">Oat milk (fortified)</t>
  </si>
  <si>
    <t xml:space="preserve">2 (low, low)</t>
  </si>
  <si>
    <t xml:space="preserve">Diet cola (sweeteners)</t>
  </si>
  <si>
    <t xml:space="preserve">4 (moderate, moderate, moderate, low)</t>
  </si>
  <si>
    <t xml:space="preserve">EDGE: OK nutrition but NOVA4 + additives → should score LOW (anti-Yuka)</t>
  </si>
  <si>
    <t xml:space="preserve">Regular cola</t>
  </si>
  <si>
    <t xml:space="preserve">E</t>
  </si>
  <si>
    <t xml:space="preserve">Energy drink</t>
  </si>
  <si>
    <t xml:space="preserve">3 (moderate, moderate, low)</t>
  </si>
  <si>
    <t xml:space="preserve">Sports drink</t>
  </si>
  <si>
    <t xml:space="preserve">2 (moderate, low)</t>
  </si>
  <si>
    <t xml:space="preserve">Multigrain Cheerios (fortified)</t>
  </si>
  <si>
    <t xml:space="preserve">Cereal</t>
  </si>
  <si>
    <t xml:space="preserve">EDGE: compare vs Froot Loops</t>
  </si>
  <si>
    <t xml:space="preserve">Froot Loops (sugary cereal)</t>
  </si>
  <si>
    <t xml:space="preserve">3 (higher, moderate, moderate)</t>
  </si>
  <si>
    <t xml:space="preserve">Colours + BHT</t>
  </si>
  <si>
    <t xml:space="preserve">Granola (sweetened)</t>
  </si>
  <si>
    <t xml:space="preserve">Instant ramen noodles</t>
  </si>
  <si>
    <t xml:space="preserve">Meal</t>
  </si>
  <si>
    <t xml:space="preserve">Canned condensed soup</t>
  </si>
  <si>
    <t xml:space="preserve">Frozen pizza</t>
  </si>
  <si>
    <t xml:space="preserve">3 (moderate, low, low)</t>
  </si>
  <si>
    <t xml:space="preserve">Milk chocolate bar</t>
  </si>
  <si>
    <t xml:space="preserve">Emulsifier = low concern</t>
  </si>
  <si>
    <t xml:space="preserve">Flavoured fruit yogurt</t>
  </si>
  <si>
    <t xml:space="preserve">2 (low, moderate)</t>
  </si>
  <si>
    <t xml:space="preserve">Protein bar</t>
  </si>
  <si>
    <t xml:space="preserve">Doritos (flavoured chips)</t>
  </si>
  <si>
    <t xml:space="preserve">MSG + colours</t>
  </si>
  <si>
    <t xml:space="preserve">Refined crackers</t>
  </si>
  <si>
    <t xml:space="preserve">White sandwich bread (industrial)</t>
  </si>
  <si>
    <t xml:space="preserve">Ice cream</t>
  </si>
  <si>
    <t xml:space="preserve">Dessert</t>
  </si>
  <si>
    <t xml:space="preserve">Deli ham (cured)</t>
  </si>
  <si>
    <t xml:space="preserve">Meat</t>
  </si>
  <si>
    <t xml:space="preserve">2 (higher, moderate)</t>
  </si>
  <si>
    <t xml:space="preserve">EDGE: nitrite=higher concern but floor(30) prevents tanking</t>
  </si>
  <si>
    <t xml:space="preserve">Bacon</t>
  </si>
  <si>
    <t xml:space="preserve">1 (higher)</t>
  </si>
  <si>
    <t xml:space="preserve">nitrite</t>
  </si>
  <si>
    <t xml:space="preserve">Chicken sausages</t>
  </si>
  <si>
    <t xml:space="preserve">Peanut butter w/ sugar + palm oil</t>
  </si>
  <si>
    <t xml:space="preserve">Baby food fruit puree</t>
  </si>
  <si>
    <t xml:space="preserve">Baby</t>
  </si>
  <si>
    <t xml:space="preserve">Margarine spread</t>
  </si>
  <si>
    <t xml:space="preserve">Canned tuna in water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</si>
</sst>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1"/>
      <color rgb="FF1F7A6E"/>
      <name val="Arial"/>
      <family val="0"/>
      <charset val="1"/>
    </font>
    <font>
      <b val="true"/>
      <sz val="12"/>
      <color rgb="FF0F2A4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F2A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B0"/>
        <bgColor rgb="FFFCEFCB"/>
      </patternFill>
    </fill>
    <fill>
      <patternFill patternType="solid">
        <fgColor rgb="FF0F2A43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6"/>
      </left>
      <right style="thin">
        <color rgb="FFC9D2D6"/>
      </right>
      <top style="thin">
        <color rgb="FFC9D2D6"/>
      </top>
      <bottom style="thin">
        <color rgb="FFC9D2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6EFD8"/>
        </patternFill>
      </fill>
    </dxf>
    <dxf>
      <fill>
        <patternFill>
          <bgColor rgb="FFFCEFCB"/>
        </patternFill>
      </fill>
    </dxf>
    <dxf>
      <fill>
        <patternFill>
          <bgColor rgb="FFF4D8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E"/>
      <rgbColor rgb="FFC0C0C0"/>
      <rgbColor rgb="FF808080"/>
      <rgbColor rgb="FF9999FF"/>
      <rgbColor rgb="FF993366"/>
      <rgbColor rgb="FFFCEFCB"/>
      <rgbColor rgb="FFCCFFFF"/>
      <rgbColor rgb="FF660066"/>
      <rgbColor rgb="FFFF8080"/>
      <rgbColor rgb="FF0066CC"/>
      <rgbColor rgb="FFC9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8"/>
      <rgbColor rgb="FFFFF3B0"/>
      <rgbColor rgb="FF99CCFF"/>
      <rgbColor rgb="FFFF99CC"/>
      <rgbColor rgb="FFCC99FF"/>
      <rgbColor rgb="FFF4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43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35.0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/>
    </row>
    <row r="7" customFormat="false" ht="23.8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2" t="s">
        <v>5</v>
      </c>
    </row>
    <row r="11" customFormat="false" ht="15" hidden="false" customHeight="false" outlineLevel="0" collapsed="false">
      <c r="A11" s="2" t="s">
        <v>6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/>
    </row>
    <row r="15" customFormat="false" ht="23.8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/>
    </row>
    <row r="17" customFormat="false" ht="23.85" hidden="false" customHeight="false" outlineLevel="0" collapsed="false">
      <c r="A17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5" t="s">
        <v>11</v>
      </c>
    </row>
    <row r="3" customFormat="false" ht="15" hidden="false" customHeight="false" outlineLevel="0" collapsed="false">
      <c r="A3" s="6" t="s">
        <v>12</v>
      </c>
    </row>
    <row r="4" customFormat="false" ht="15" hidden="false" customHeight="false" outlineLevel="0" collapsed="false">
      <c r="A4" s="0" t="s">
        <v>13</v>
      </c>
      <c r="B4" s="7" t="n">
        <v>0.5</v>
      </c>
    </row>
    <row r="5" customFormat="false" ht="15" hidden="false" customHeight="false" outlineLevel="0" collapsed="false">
      <c r="A5" s="0" t="s">
        <v>14</v>
      </c>
      <c r="B5" s="7" t="n">
        <v>0.35</v>
      </c>
    </row>
    <row r="6" customFormat="false" ht="15" hidden="false" customHeight="false" outlineLevel="0" collapsed="false">
      <c r="A6" s="0" t="s">
        <v>15</v>
      </c>
      <c r="B6" s="7" t="n">
        <v>0.15</v>
      </c>
    </row>
    <row r="7" customFormat="false" ht="15" hidden="false" customHeight="false" outlineLevel="0" collapsed="false">
      <c r="A7" s="8" t="s">
        <v>16</v>
      </c>
      <c r="B7" s="9" t="n">
        <f aca="false">SUM(B4:B6)</f>
        <v>1</v>
      </c>
    </row>
    <row r="9" customFormat="false" ht="15" hidden="false" customHeight="false" outlineLevel="0" collapsed="false">
      <c r="A9" s="6" t="s">
        <v>17</v>
      </c>
    </row>
    <row r="10" customFormat="false" ht="15" hidden="false" customHeight="false" outlineLevel="0" collapsed="false">
      <c r="A10" s="0" t="s">
        <v>18</v>
      </c>
      <c r="B10" s="0" t="n">
        <v>100</v>
      </c>
    </row>
    <row r="11" customFormat="false" ht="15" hidden="false" customHeight="false" outlineLevel="0" collapsed="false">
      <c r="A11" s="0" t="s">
        <v>19</v>
      </c>
      <c r="B11" s="0" t="n">
        <v>80</v>
      </c>
    </row>
    <row r="12" customFormat="false" ht="15" hidden="false" customHeight="false" outlineLevel="0" collapsed="false">
      <c r="A12" s="0" t="s">
        <v>20</v>
      </c>
      <c r="B12" s="0" t="n">
        <v>55</v>
      </c>
    </row>
    <row r="13" customFormat="false" ht="15" hidden="false" customHeight="false" outlineLevel="0" collapsed="false">
      <c r="A13" s="0" t="s">
        <v>21</v>
      </c>
      <c r="B13" s="0" t="n">
        <v>20</v>
      </c>
    </row>
    <row r="15" customFormat="false" ht="15" hidden="false" customHeight="false" outlineLevel="0" collapsed="false">
      <c r="A15" s="6" t="s">
        <v>22</v>
      </c>
    </row>
    <row r="16" customFormat="false" ht="15" hidden="false" customHeight="false" outlineLevel="0" collapsed="false">
      <c r="A16" s="0" t="s">
        <v>23</v>
      </c>
      <c r="B16" s="0" t="n">
        <v>90</v>
      </c>
    </row>
    <row r="17" customFormat="false" ht="15" hidden="false" customHeight="false" outlineLevel="0" collapsed="false">
      <c r="A17" s="0" t="s">
        <v>24</v>
      </c>
      <c r="B17" s="0" t="n">
        <v>70</v>
      </c>
    </row>
    <row r="18" customFormat="false" ht="15" hidden="false" customHeight="false" outlineLevel="0" collapsed="false">
      <c r="A18" s="0" t="s">
        <v>25</v>
      </c>
      <c r="B18" s="0" t="n">
        <v>50</v>
      </c>
    </row>
    <row r="19" customFormat="false" ht="15" hidden="false" customHeight="false" outlineLevel="0" collapsed="false">
      <c r="A19" s="0" t="s">
        <v>26</v>
      </c>
      <c r="B19" s="0" t="n">
        <v>30</v>
      </c>
    </row>
    <row r="20" customFormat="false" ht="15" hidden="false" customHeight="false" outlineLevel="0" collapsed="false">
      <c r="A20" s="0" t="s">
        <v>27</v>
      </c>
      <c r="B20" s="0" t="n">
        <v>12</v>
      </c>
    </row>
    <row r="22" customFormat="false" ht="15" hidden="false" customHeight="false" outlineLevel="0" collapsed="false">
      <c r="A22" s="6" t="s">
        <v>28</v>
      </c>
    </row>
    <row r="23" customFormat="false" ht="15" hidden="false" customHeight="false" outlineLevel="0" collapsed="false">
      <c r="A23" s="0" t="s">
        <v>29</v>
      </c>
      <c r="B23" s="0" t="s">
        <v>30</v>
      </c>
    </row>
    <row r="24" customFormat="false" ht="15" hidden="false" customHeight="false" outlineLevel="0" collapsed="false">
      <c r="A24" s="0" t="s">
        <v>31</v>
      </c>
      <c r="B24" s="0" t="s">
        <v>32</v>
      </c>
    </row>
    <row r="25" customFormat="false" ht="15" hidden="false" customHeight="false" outlineLevel="0" collapsed="false">
      <c r="A25" s="0" t="s">
        <v>33</v>
      </c>
      <c r="B25" s="0" t="s">
        <v>34</v>
      </c>
    </row>
    <row r="26" customFormat="false" ht="15" hidden="false" customHeight="false" outlineLevel="0" collapsed="false">
      <c r="A26" s="0" t="s">
        <v>35</v>
      </c>
      <c r="B2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5" min="4" style="0" width="7"/>
    <col collapsed="false" customWidth="true" hidden="false" outlineLevel="0" max="6" min="6" style="0" width="20"/>
    <col collapsed="false" customWidth="true" hidden="false" outlineLevel="0" max="10" min="7" style="0" width="9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J1" s="10" t="s">
        <v>45</v>
      </c>
      <c r="K1" s="10" t="s">
        <v>46</v>
      </c>
      <c r="L1" s="10" t="s">
        <v>47</v>
      </c>
      <c r="M1" s="10" t="s">
        <v>48</v>
      </c>
    </row>
    <row r="2" customFormat="false" ht="23.85" hidden="false" customHeight="false" outlineLevel="0" collapsed="false">
      <c r="A2" s="11" t="n">
        <v>1</v>
      </c>
      <c r="B2" s="12" t="s">
        <v>49</v>
      </c>
      <c r="C2" s="11" t="s">
        <v>50</v>
      </c>
      <c r="D2" s="11" t="n">
        <v>1</v>
      </c>
      <c r="E2" s="11" t="s">
        <v>51</v>
      </c>
      <c r="F2" s="12" t="s">
        <v>52</v>
      </c>
      <c r="G2" s="11" t="n">
        <v>100</v>
      </c>
      <c r="H2" s="11" t="n">
        <v>50</v>
      </c>
      <c r="I2" s="11" t="n">
        <v>100</v>
      </c>
      <c r="J2" s="13" t="n">
        <f aca="false">ROUND(Weights!$B$4*G2+Weights!$B$5*H2+Weights!$B$6*I2,0)</f>
        <v>83</v>
      </c>
      <c r="K2" s="11" t="str">
        <f aca="false">IF(J2&gt;=75,"Lower-processed",IF(J2&gt;=45,"Moderately processed","Higher-processed"))</f>
        <v>Lower-processed</v>
      </c>
      <c r="L2" s="11"/>
      <c r="M2" s="12" t="s">
        <v>53</v>
      </c>
    </row>
    <row r="3" customFormat="false" ht="15" hidden="false" customHeight="false" outlineLevel="0" collapsed="false">
      <c r="A3" s="11" t="n">
        <v>2</v>
      </c>
      <c r="B3" s="12" t="s">
        <v>54</v>
      </c>
      <c r="C3" s="11" t="s">
        <v>55</v>
      </c>
      <c r="D3" s="11" t="n">
        <v>1</v>
      </c>
      <c r="E3" s="11" t="s">
        <v>56</v>
      </c>
      <c r="F3" s="12" t="s">
        <v>52</v>
      </c>
      <c r="G3" s="11" t="n">
        <v>100</v>
      </c>
      <c r="H3" s="11" t="n">
        <v>90</v>
      </c>
      <c r="I3" s="11" t="n">
        <v>100</v>
      </c>
      <c r="J3" s="13" t="n">
        <f aca="false">ROUND(Weights!$B$4*G3+Weights!$B$5*H3+Weights!$B$6*I3,0)</f>
        <v>97</v>
      </c>
      <c r="K3" s="11" t="str">
        <f aca="false">IF(J3&gt;=75,"Lower-processed",IF(J3&gt;=45,"Moderately processed","Higher-processed"))</f>
        <v>Lower-processed</v>
      </c>
      <c r="L3" s="11"/>
      <c r="M3" s="12" t="s">
        <v>57</v>
      </c>
    </row>
    <row r="4" customFormat="false" ht="15" hidden="false" customHeight="false" outlineLevel="0" collapsed="false">
      <c r="A4" s="11" t="n">
        <v>3</v>
      </c>
      <c r="B4" s="12" t="s">
        <v>58</v>
      </c>
      <c r="C4" s="11" t="s">
        <v>59</v>
      </c>
      <c r="D4" s="11" t="n">
        <v>1</v>
      </c>
      <c r="E4" s="11" t="s">
        <v>56</v>
      </c>
      <c r="F4" s="12" t="s">
        <v>52</v>
      </c>
      <c r="G4" s="11" t="n">
        <v>100</v>
      </c>
      <c r="H4" s="11" t="n">
        <v>90</v>
      </c>
      <c r="I4" s="11" t="n">
        <v>100</v>
      </c>
      <c r="J4" s="13" t="n">
        <f aca="false">ROUND(Weights!$B$4*G4+Weights!$B$5*H4+Weights!$B$6*I4,0)</f>
        <v>97</v>
      </c>
      <c r="K4" s="11" t="str">
        <f aca="false">IF(J4&gt;=75,"Lower-processed",IF(J4&gt;=45,"Moderately processed","Higher-processed"))</f>
        <v>Lower-processed</v>
      </c>
      <c r="L4" s="11"/>
      <c r="M4" s="12"/>
    </row>
    <row r="5" customFormat="false" ht="15" hidden="false" customHeight="false" outlineLevel="0" collapsed="false">
      <c r="A5" s="11" t="n">
        <v>4</v>
      </c>
      <c r="B5" s="12" t="s">
        <v>60</v>
      </c>
      <c r="C5" s="11" t="s">
        <v>61</v>
      </c>
      <c r="D5" s="11" t="n">
        <v>1</v>
      </c>
      <c r="E5" s="11" t="s">
        <v>56</v>
      </c>
      <c r="F5" s="12" t="s">
        <v>52</v>
      </c>
      <c r="G5" s="11" t="n">
        <v>100</v>
      </c>
      <c r="H5" s="11" t="n">
        <v>90</v>
      </c>
      <c r="I5" s="11" t="n">
        <v>100</v>
      </c>
      <c r="J5" s="13" t="n">
        <f aca="false">ROUND(Weights!$B$4*G5+Weights!$B$5*H5+Weights!$B$6*I5,0)</f>
        <v>97</v>
      </c>
      <c r="K5" s="11" t="str">
        <f aca="false">IF(J5&gt;=75,"Lower-processed",IF(J5&gt;=45,"Moderately processed","Higher-processed"))</f>
        <v>Lower-processed</v>
      </c>
      <c r="L5" s="11"/>
      <c r="M5" s="12"/>
    </row>
    <row r="6" customFormat="false" ht="15" hidden="false" customHeight="false" outlineLevel="0" collapsed="false">
      <c r="A6" s="11" t="n">
        <v>5</v>
      </c>
      <c r="B6" s="12" t="s">
        <v>62</v>
      </c>
      <c r="C6" s="11" t="s">
        <v>61</v>
      </c>
      <c r="D6" s="11" t="n">
        <v>1</v>
      </c>
      <c r="E6" s="11" t="s">
        <v>56</v>
      </c>
      <c r="F6" s="12" t="s">
        <v>52</v>
      </c>
      <c r="G6" s="11" t="n">
        <v>100</v>
      </c>
      <c r="H6" s="11" t="n">
        <v>90</v>
      </c>
      <c r="I6" s="11" t="n">
        <v>100</v>
      </c>
      <c r="J6" s="13" t="n">
        <f aca="false">ROUND(Weights!$B$4*G6+Weights!$B$5*H6+Weights!$B$6*I6,0)</f>
        <v>97</v>
      </c>
      <c r="K6" s="11" t="str">
        <f aca="false">IF(J6&gt;=75,"Lower-processed",IF(J6&gt;=45,"Moderately processed","Higher-processed"))</f>
        <v>Lower-processed</v>
      </c>
      <c r="L6" s="11"/>
      <c r="M6" s="12"/>
    </row>
    <row r="7" customFormat="false" ht="15" hidden="false" customHeight="false" outlineLevel="0" collapsed="false">
      <c r="A7" s="11" t="n">
        <v>6</v>
      </c>
      <c r="B7" s="12" t="s">
        <v>63</v>
      </c>
      <c r="C7" s="11" t="s">
        <v>64</v>
      </c>
      <c r="D7" s="11" t="n">
        <v>1</v>
      </c>
      <c r="E7" s="11" t="s">
        <v>56</v>
      </c>
      <c r="F7" s="12" t="s">
        <v>52</v>
      </c>
      <c r="G7" s="11" t="n">
        <v>100</v>
      </c>
      <c r="H7" s="11" t="n">
        <v>90</v>
      </c>
      <c r="I7" s="11" t="n">
        <v>100</v>
      </c>
      <c r="J7" s="13" t="n">
        <f aca="false">ROUND(Weights!$B$4*G7+Weights!$B$5*H7+Weights!$B$6*I7,0)</f>
        <v>97</v>
      </c>
      <c r="K7" s="11" t="str">
        <f aca="false">IF(J7&gt;=75,"Lower-processed",IF(J7&gt;=45,"Moderately processed","Higher-processed"))</f>
        <v>Lower-processed</v>
      </c>
      <c r="L7" s="11"/>
      <c r="M7" s="12"/>
    </row>
    <row r="8" customFormat="false" ht="15" hidden="false" customHeight="false" outlineLevel="0" collapsed="false">
      <c r="A8" s="11" t="n">
        <v>7</v>
      </c>
      <c r="B8" s="12" t="s">
        <v>65</v>
      </c>
      <c r="C8" s="11" t="s">
        <v>66</v>
      </c>
      <c r="D8" s="11" t="n">
        <v>1</v>
      </c>
      <c r="E8" s="11" t="s">
        <v>67</v>
      </c>
      <c r="F8" s="12" t="s">
        <v>52</v>
      </c>
      <c r="G8" s="11" t="n">
        <v>100</v>
      </c>
      <c r="H8" s="11" t="n">
        <v>70</v>
      </c>
      <c r="I8" s="11" t="n">
        <v>100</v>
      </c>
      <c r="J8" s="13" t="n">
        <f aca="false">ROUND(Weights!$B$4*G8+Weights!$B$5*H8+Weights!$B$6*I8,0)</f>
        <v>90</v>
      </c>
      <c r="K8" s="11" t="str">
        <f aca="false">IF(J8&gt;=75,"Lower-processed",IF(J8&gt;=45,"Moderately processed","Higher-processed"))</f>
        <v>Lower-processed</v>
      </c>
      <c r="L8" s="11"/>
      <c r="M8" s="12"/>
    </row>
    <row r="9" customFormat="false" ht="15" hidden="false" customHeight="false" outlineLevel="0" collapsed="false">
      <c r="A9" s="11" t="n">
        <v>8</v>
      </c>
      <c r="B9" s="12" t="s">
        <v>68</v>
      </c>
      <c r="C9" s="11" t="s">
        <v>66</v>
      </c>
      <c r="D9" s="11" t="n">
        <v>1</v>
      </c>
      <c r="E9" s="11" t="s">
        <v>56</v>
      </c>
      <c r="F9" s="12" t="s">
        <v>52</v>
      </c>
      <c r="G9" s="11" t="n">
        <v>100</v>
      </c>
      <c r="H9" s="11" t="n">
        <v>90</v>
      </c>
      <c r="I9" s="11" t="n">
        <v>100</v>
      </c>
      <c r="J9" s="13" t="n">
        <f aca="false">ROUND(Weights!$B$4*G9+Weights!$B$5*H9+Weights!$B$6*I9,0)</f>
        <v>97</v>
      </c>
      <c r="K9" s="11" t="str">
        <f aca="false">IF(J9&gt;=75,"Lower-processed",IF(J9&gt;=45,"Moderately processed","Higher-processed"))</f>
        <v>Lower-processed</v>
      </c>
      <c r="L9" s="11"/>
      <c r="M9" s="12"/>
    </row>
    <row r="10" customFormat="false" ht="15" hidden="false" customHeight="false" outlineLevel="0" collapsed="false">
      <c r="A10" s="11" t="n">
        <v>9</v>
      </c>
      <c r="B10" s="14" t="s">
        <v>69</v>
      </c>
      <c r="C10" s="11" t="s">
        <v>70</v>
      </c>
      <c r="D10" s="11" t="n">
        <v>1</v>
      </c>
      <c r="E10" s="11" t="s">
        <v>56</v>
      </c>
      <c r="F10" s="12" t="s">
        <v>52</v>
      </c>
      <c r="G10" s="11" t="n">
        <v>100</v>
      </c>
      <c r="H10" s="11" t="n">
        <v>90</v>
      </c>
      <c r="I10" s="11" t="n">
        <v>100</v>
      </c>
      <c r="J10" s="13" t="n">
        <f aca="false">ROUND(Weights!$B$4*G10+Weights!$B$5*H10+Weights!$B$6*I10,0)</f>
        <v>97</v>
      </c>
      <c r="K10" s="11" t="str">
        <f aca="false">IF(J10&gt;=75,"Lower-processed",IF(J10&gt;=45,"Moderately processed","Higher-processed"))</f>
        <v>Lower-processed</v>
      </c>
      <c r="L10" s="11"/>
      <c r="M10" s="14" t="s">
        <v>71</v>
      </c>
    </row>
    <row r="11" customFormat="false" ht="15" hidden="false" customHeight="false" outlineLevel="0" collapsed="false">
      <c r="A11" s="11" t="n">
        <v>10</v>
      </c>
      <c r="B11" s="12" t="s">
        <v>72</v>
      </c>
      <c r="C11" s="11" t="s">
        <v>73</v>
      </c>
      <c r="D11" s="11" t="n">
        <v>1</v>
      </c>
      <c r="E11" s="11" t="s">
        <v>74</v>
      </c>
      <c r="F11" s="12" t="s">
        <v>52</v>
      </c>
      <c r="G11" s="11" t="n">
        <v>100</v>
      </c>
      <c r="H11" s="11" t="n">
        <v>30</v>
      </c>
      <c r="I11" s="11" t="n">
        <v>100</v>
      </c>
      <c r="J11" s="13" t="n">
        <f aca="false">ROUND(Weights!$B$4*G11+Weights!$B$5*H11+Weights!$B$6*I11,0)</f>
        <v>76</v>
      </c>
      <c r="K11" s="11" t="str">
        <f aca="false">IF(J11&gt;=75,"Lower-processed",IF(J11&gt;=45,"Moderately processed","Higher-processed"))</f>
        <v>Lower-processed</v>
      </c>
      <c r="L11" s="11"/>
      <c r="M11" s="12" t="s">
        <v>75</v>
      </c>
    </row>
    <row r="12" customFormat="false" ht="15" hidden="false" customHeight="false" outlineLevel="0" collapsed="false">
      <c r="A12" s="11" t="n">
        <v>11</v>
      </c>
      <c r="B12" s="12" t="s">
        <v>76</v>
      </c>
      <c r="C12" s="11" t="s">
        <v>73</v>
      </c>
      <c r="D12" s="11" t="n">
        <v>1</v>
      </c>
      <c r="E12" s="11" t="s">
        <v>74</v>
      </c>
      <c r="F12" s="12" t="s">
        <v>52</v>
      </c>
      <c r="G12" s="11" t="n">
        <v>100</v>
      </c>
      <c r="H12" s="11" t="n">
        <v>30</v>
      </c>
      <c r="I12" s="11" t="n">
        <v>100</v>
      </c>
      <c r="J12" s="13" t="n">
        <f aca="false">ROUND(Weights!$B$4*G12+Weights!$B$5*H12+Weights!$B$6*I12,0)</f>
        <v>76</v>
      </c>
      <c r="K12" s="11" t="str">
        <f aca="false">IF(J12&gt;=75,"Lower-processed",IF(J12&gt;=45,"Moderately processed","Higher-processed"))</f>
        <v>Lower-processed</v>
      </c>
      <c r="L12" s="11"/>
      <c r="M12" s="12"/>
    </row>
    <row r="13" customFormat="false" ht="15" hidden="false" customHeight="false" outlineLevel="0" collapsed="false">
      <c r="A13" s="11" t="n">
        <v>12</v>
      </c>
      <c r="B13" s="12" t="s">
        <v>77</v>
      </c>
      <c r="C13" s="11" t="s">
        <v>78</v>
      </c>
      <c r="D13" s="11" t="n">
        <v>2</v>
      </c>
      <c r="E13" s="11" t="s">
        <v>51</v>
      </c>
      <c r="F13" s="12" t="s">
        <v>52</v>
      </c>
      <c r="G13" s="11" t="n">
        <v>80</v>
      </c>
      <c r="H13" s="11" t="n">
        <v>50</v>
      </c>
      <c r="I13" s="11" t="n">
        <v>100</v>
      </c>
      <c r="J13" s="13" t="n">
        <f aca="false">ROUND(Weights!$B$4*G13+Weights!$B$5*H13+Weights!$B$6*I13,0)</f>
        <v>73</v>
      </c>
      <c r="K13" s="11" t="str">
        <f aca="false">IF(J13&gt;=75,"Lower-processed",IF(J13&gt;=45,"Moderately processed","Higher-processed"))</f>
        <v>Moderately processed</v>
      </c>
      <c r="L13" s="11"/>
      <c r="M13" s="12"/>
    </row>
    <row r="14" customFormat="false" ht="15" hidden="false" customHeight="false" outlineLevel="0" collapsed="false">
      <c r="A14" s="11" t="n">
        <v>13</v>
      </c>
      <c r="B14" s="12" t="s">
        <v>79</v>
      </c>
      <c r="C14" s="11" t="s">
        <v>80</v>
      </c>
      <c r="D14" s="11" t="n">
        <v>3</v>
      </c>
      <c r="E14" s="11" t="s">
        <v>74</v>
      </c>
      <c r="F14" s="12" t="s">
        <v>52</v>
      </c>
      <c r="G14" s="11" t="n">
        <v>55</v>
      </c>
      <c r="H14" s="11" t="n">
        <v>30</v>
      </c>
      <c r="I14" s="11" t="n">
        <v>100</v>
      </c>
      <c r="J14" s="13" t="n">
        <f aca="false">ROUND(Weights!$B$4*G14+Weights!$B$5*H14+Weights!$B$6*I14,0)</f>
        <v>53</v>
      </c>
      <c r="K14" s="11" t="str">
        <f aca="false">IF(J14&gt;=75,"Lower-processed",IF(J14&gt;=45,"Moderately processed","Higher-processed"))</f>
        <v>Moderately processed</v>
      </c>
      <c r="L14" s="11"/>
      <c r="M14" s="12" t="s">
        <v>81</v>
      </c>
    </row>
    <row r="15" customFormat="false" ht="23.85" hidden="false" customHeight="false" outlineLevel="0" collapsed="false">
      <c r="A15" s="11" t="n">
        <v>14</v>
      </c>
      <c r="B15" s="14" t="s">
        <v>82</v>
      </c>
      <c r="C15" s="11" t="s">
        <v>66</v>
      </c>
      <c r="D15" s="11" t="n">
        <v>3</v>
      </c>
      <c r="E15" s="11" t="s">
        <v>74</v>
      </c>
      <c r="F15" s="12" t="s">
        <v>52</v>
      </c>
      <c r="G15" s="11" t="n">
        <v>55</v>
      </c>
      <c r="H15" s="11" t="n">
        <v>30</v>
      </c>
      <c r="I15" s="11" t="n">
        <v>100</v>
      </c>
      <c r="J15" s="13" t="n">
        <f aca="false">ROUND(Weights!$B$4*G15+Weights!$B$5*H15+Weights!$B$6*I15,0)</f>
        <v>53</v>
      </c>
      <c r="K15" s="11" t="str">
        <f aca="false">IF(J15&gt;=75,"Lower-processed",IF(J15&gt;=45,"Moderately processed","Higher-processed"))</f>
        <v>Moderately processed</v>
      </c>
      <c r="L15" s="11"/>
      <c r="M15" s="14" t="s">
        <v>83</v>
      </c>
    </row>
    <row r="16" customFormat="false" ht="15" hidden="false" customHeight="false" outlineLevel="0" collapsed="false">
      <c r="A16" s="11" t="n">
        <v>15</v>
      </c>
      <c r="B16" s="12" t="s">
        <v>84</v>
      </c>
      <c r="C16" s="11" t="s">
        <v>85</v>
      </c>
      <c r="D16" s="11" t="n">
        <v>3</v>
      </c>
      <c r="E16" s="11" t="s">
        <v>56</v>
      </c>
      <c r="F16" s="12" t="s">
        <v>52</v>
      </c>
      <c r="G16" s="11" t="n">
        <v>55</v>
      </c>
      <c r="H16" s="11" t="n">
        <v>90</v>
      </c>
      <c r="I16" s="11" t="n">
        <v>100</v>
      </c>
      <c r="J16" s="13" t="n">
        <f aca="false">ROUND(Weights!$B$4*G16+Weights!$B$5*H16+Weights!$B$6*I16,0)</f>
        <v>74</v>
      </c>
      <c r="K16" s="11" t="str">
        <f aca="false">IF(J16&gt;=75,"Lower-processed",IF(J16&gt;=45,"Moderately processed","Higher-processed"))</f>
        <v>Moderately processed</v>
      </c>
      <c r="L16" s="11"/>
      <c r="M16" s="12"/>
    </row>
    <row r="17" customFormat="false" ht="15" hidden="false" customHeight="false" outlineLevel="0" collapsed="false">
      <c r="A17" s="11" t="n">
        <v>16</v>
      </c>
      <c r="B17" s="12" t="s">
        <v>86</v>
      </c>
      <c r="C17" s="11" t="s">
        <v>78</v>
      </c>
      <c r="D17" s="11" t="n">
        <v>3</v>
      </c>
      <c r="E17" s="11" t="s">
        <v>67</v>
      </c>
      <c r="F17" s="12" t="s">
        <v>87</v>
      </c>
      <c r="G17" s="11" t="n">
        <v>55</v>
      </c>
      <c r="H17" s="11" t="n">
        <v>70</v>
      </c>
      <c r="I17" s="11" t="n">
        <v>100</v>
      </c>
      <c r="J17" s="13" t="n">
        <f aca="false">ROUND(Weights!$B$4*G17+Weights!$B$5*H17+Weights!$B$6*I17,0)</f>
        <v>67</v>
      </c>
      <c r="K17" s="11" t="str">
        <f aca="false">IF(J17&gt;=75,"Lower-processed",IF(J17&gt;=45,"Moderately processed","Higher-processed"))</f>
        <v>Moderately processed</v>
      </c>
      <c r="L17" s="11"/>
      <c r="M17" s="12"/>
    </row>
    <row r="18" customFormat="false" ht="15" hidden="false" customHeight="false" outlineLevel="0" collapsed="false">
      <c r="A18" s="11" t="n">
        <v>17</v>
      </c>
      <c r="B18" s="12" t="s">
        <v>88</v>
      </c>
      <c r="C18" s="11" t="s">
        <v>89</v>
      </c>
      <c r="D18" s="11" t="n">
        <v>3</v>
      </c>
      <c r="E18" s="11" t="s">
        <v>67</v>
      </c>
      <c r="F18" s="12" t="s">
        <v>52</v>
      </c>
      <c r="G18" s="11" t="n">
        <v>55</v>
      </c>
      <c r="H18" s="11" t="n">
        <v>70</v>
      </c>
      <c r="I18" s="11" t="n">
        <v>100</v>
      </c>
      <c r="J18" s="13" t="n">
        <f aca="false">ROUND(Weights!$B$4*G18+Weights!$B$5*H18+Weights!$B$6*I18,0)</f>
        <v>67</v>
      </c>
      <c r="K18" s="11" t="str">
        <f aca="false">IF(J18&gt;=75,"Lower-processed",IF(J18&gt;=45,"Moderately processed","Higher-processed"))</f>
        <v>Moderately processed</v>
      </c>
      <c r="L18" s="11"/>
      <c r="M18" s="12"/>
    </row>
    <row r="19" customFormat="false" ht="15" hidden="false" customHeight="false" outlineLevel="0" collapsed="false">
      <c r="A19" s="11" t="n">
        <v>18</v>
      </c>
      <c r="B19" s="12" t="s">
        <v>90</v>
      </c>
      <c r="C19" s="11" t="s">
        <v>91</v>
      </c>
      <c r="D19" s="11" t="n">
        <v>3</v>
      </c>
      <c r="E19" s="11" t="s">
        <v>51</v>
      </c>
      <c r="F19" s="12" t="s">
        <v>52</v>
      </c>
      <c r="G19" s="11" t="n">
        <v>55</v>
      </c>
      <c r="H19" s="11" t="n">
        <v>50</v>
      </c>
      <c r="I19" s="11" t="n">
        <v>100</v>
      </c>
      <c r="J19" s="13" t="n">
        <f aca="false">ROUND(Weights!$B$4*G19+Weights!$B$5*H19+Weights!$B$6*I19,0)</f>
        <v>60</v>
      </c>
      <c r="K19" s="11" t="str">
        <f aca="false">IF(J19&gt;=75,"Lower-processed",IF(J19&gt;=45,"Moderately processed","Higher-processed"))</f>
        <v>Moderately processed</v>
      </c>
      <c r="L19" s="11"/>
      <c r="M19" s="12"/>
    </row>
    <row r="20" customFormat="false" ht="15" hidden="false" customHeight="false" outlineLevel="0" collapsed="false">
      <c r="A20" s="11" t="n">
        <v>19</v>
      </c>
      <c r="B20" s="12" t="s">
        <v>92</v>
      </c>
      <c r="C20" s="11" t="s">
        <v>59</v>
      </c>
      <c r="D20" s="11" t="n">
        <v>3</v>
      </c>
      <c r="E20" s="11" t="s">
        <v>67</v>
      </c>
      <c r="F20" s="12" t="s">
        <v>87</v>
      </c>
      <c r="G20" s="11" t="n">
        <v>55</v>
      </c>
      <c r="H20" s="11" t="n">
        <v>70</v>
      </c>
      <c r="I20" s="11" t="n">
        <v>100</v>
      </c>
      <c r="J20" s="13" t="n">
        <f aca="false">ROUND(Weights!$B$4*G20+Weights!$B$5*H20+Weights!$B$6*I20,0)</f>
        <v>67</v>
      </c>
      <c r="K20" s="11" t="str">
        <f aca="false">IF(J20&gt;=75,"Lower-processed",IF(J20&gt;=45,"Moderately processed","Higher-processed"))</f>
        <v>Moderately processed</v>
      </c>
      <c r="L20" s="11"/>
      <c r="M20" s="12"/>
    </row>
    <row r="21" customFormat="false" ht="15" hidden="false" customHeight="false" outlineLevel="0" collapsed="false">
      <c r="A21" s="11" t="n">
        <v>20</v>
      </c>
      <c r="B21" s="12" t="s">
        <v>93</v>
      </c>
      <c r="C21" s="11" t="s">
        <v>94</v>
      </c>
      <c r="D21" s="11" t="n">
        <v>3</v>
      </c>
      <c r="E21" s="11" t="s">
        <v>74</v>
      </c>
      <c r="F21" s="12" t="s">
        <v>87</v>
      </c>
      <c r="G21" s="11" t="n">
        <v>55</v>
      </c>
      <c r="H21" s="11" t="n">
        <v>30</v>
      </c>
      <c r="I21" s="11" t="n">
        <v>100</v>
      </c>
      <c r="J21" s="13" t="n">
        <f aca="false">ROUND(Weights!$B$4*G21+Weights!$B$5*H21+Weights!$B$6*I21,0)</f>
        <v>53</v>
      </c>
      <c r="K21" s="11" t="str">
        <f aca="false">IF(J21&gt;=75,"Lower-processed",IF(J21&gt;=45,"Moderately processed","Higher-processed"))</f>
        <v>Moderately processed</v>
      </c>
      <c r="L21" s="11"/>
      <c r="M21" s="12"/>
    </row>
    <row r="22" customFormat="false" ht="15" hidden="false" customHeight="false" outlineLevel="0" collapsed="false">
      <c r="A22" s="11" t="n">
        <v>21</v>
      </c>
      <c r="B22" s="12" t="s">
        <v>95</v>
      </c>
      <c r="C22" s="11" t="s">
        <v>96</v>
      </c>
      <c r="D22" s="11" t="n">
        <v>3</v>
      </c>
      <c r="E22" s="11" t="s">
        <v>74</v>
      </c>
      <c r="F22" s="12" t="s">
        <v>52</v>
      </c>
      <c r="G22" s="11" t="n">
        <v>55</v>
      </c>
      <c r="H22" s="11" t="n">
        <v>30</v>
      </c>
      <c r="I22" s="11" t="n">
        <v>100</v>
      </c>
      <c r="J22" s="13" t="n">
        <f aca="false">ROUND(Weights!$B$4*G22+Weights!$B$5*H22+Weights!$B$6*I22,0)</f>
        <v>53</v>
      </c>
      <c r="K22" s="11" t="str">
        <f aca="false">IF(J22&gt;=75,"Lower-processed",IF(J22&gt;=45,"Moderately processed","Higher-processed"))</f>
        <v>Moderately processed</v>
      </c>
      <c r="L22" s="11"/>
      <c r="M22" s="12"/>
    </row>
    <row r="23" customFormat="false" ht="15" hidden="false" customHeight="false" outlineLevel="0" collapsed="false">
      <c r="A23" s="11" t="n">
        <v>22</v>
      </c>
      <c r="B23" s="12" t="s">
        <v>97</v>
      </c>
      <c r="C23" s="11" t="s">
        <v>98</v>
      </c>
      <c r="D23" s="11" t="n">
        <v>4</v>
      </c>
      <c r="E23" s="11" t="s">
        <v>74</v>
      </c>
      <c r="F23" s="12" t="s">
        <v>87</v>
      </c>
      <c r="G23" s="11" t="n">
        <v>20</v>
      </c>
      <c r="H23" s="11" t="n">
        <v>30</v>
      </c>
      <c r="I23" s="11" t="n">
        <v>100</v>
      </c>
      <c r="J23" s="13" t="n">
        <f aca="false">ROUND(Weights!$B$4*G23+Weights!$B$5*H23+Weights!$B$6*I23,0)</f>
        <v>36</v>
      </c>
      <c r="K23" s="11" t="str">
        <f aca="false">IF(J23&gt;=75,"Lower-processed",IF(J23&gt;=45,"Moderately processed","Higher-processed"))</f>
        <v>Higher-processed</v>
      </c>
      <c r="L23" s="11"/>
      <c r="M23" s="12"/>
    </row>
    <row r="24" customFormat="false" ht="15" hidden="false" customHeight="false" outlineLevel="0" collapsed="false">
      <c r="A24" s="11" t="n">
        <v>23</v>
      </c>
      <c r="B24" s="12" t="s">
        <v>99</v>
      </c>
      <c r="C24" s="11" t="s">
        <v>98</v>
      </c>
      <c r="D24" s="11" t="n">
        <v>3</v>
      </c>
      <c r="E24" s="11" t="s">
        <v>67</v>
      </c>
      <c r="F24" s="12" t="s">
        <v>52</v>
      </c>
      <c r="G24" s="11" t="n">
        <v>55</v>
      </c>
      <c r="H24" s="11" t="n">
        <v>70</v>
      </c>
      <c r="I24" s="11" t="n">
        <v>100</v>
      </c>
      <c r="J24" s="13" t="n">
        <f aca="false">ROUND(Weights!$B$4*G24+Weights!$B$5*H24+Weights!$B$6*I24,0)</f>
        <v>67</v>
      </c>
      <c r="K24" s="11" t="str">
        <f aca="false">IF(J24&gt;=75,"Lower-processed",IF(J24&gt;=45,"Moderately processed","Higher-processed"))</f>
        <v>Moderately processed</v>
      </c>
      <c r="L24" s="11"/>
      <c r="M24" s="12"/>
    </row>
    <row r="25" customFormat="false" ht="15" hidden="false" customHeight="false" outlineLevel="0" collapsed="false">
      <c r="A25" s="11" t="n">
        <v>24</v>
      </c>
      <c r="B25" s="12" t="s">
        <v>100</v>
      </c>
      <c r="C25" s="11" t="s">
        <v>70</v>
      </c>
      <c r="D25" s="11" t="n">
        <v>3</v>
      </c>
      <c r="E25" s="11" t="s">
        <v>67</v>
      </c>
      <c r="F25" s="12" t="s">
        <v>52</v>
      </c>
      <c r="G25" s="11" t="n">
        <v>55</v>
      </c>
      <c r="H25" s="11" t="n">
        <v>70</v>
      </c>
      <c r="I25" s="11" t="n">
        <v>100</v>
      </c>
      <c r="J25" s="13" t="n">
        <f aca="false">ROUND(Weights!$B$4*G25+Weights!$B$5*H25+Weights!$B$6*I25,0)</f>
        <v>67</v>
      </c>
      <c r="K25" s="11" t="str">
        <f aca="false">IF(J25&gt;=75,"Lower-processed",IF(J25&gt;=45,"Moderately processed","Higher-processed"))</f>
        <v>Moderately processed</v>
      </c>
      <c r="L25" s="11"/>
      <c r="M25" s="12"/>
    </row>
    <row r="26" customFormat="false" ht="15" hidden="false" customHeight="false" outlineLevel="0" collapsed="false">
      <c r="A26" s="11" t="n">
        <v>25</v>
      </c>
      <c r="B26" s="12" t="s">
        <v>101</v>
      </c>
      <c r="C26" s="11" t="s">
        <v>70</v>
      </c>
      <c r="D26" s="11" t="n">
        <v>1</v>
      </c>
      <c r="E26" s="11" t="s">
        <v>51</v>
      </c>
      <c r="F26" s="12" t="s">
        <v>52</v>
      </c>
      <c r="G26" s="11" t="n">
        <v>100</v>
      </c>
      <c r="H26" s="11" t="n">
        <v>50</v>
      </c>
      <c r="I26" s="11" t="n">
        <v>100</v>
      </c>
      <c r="J26" s="13" t="n">
        <f aca="false">ROUND(Weights!$B$4*G26+Weights!$B$5*H26+Weights!$B$6*I26,0)</f>
        <v>83</v>
      </c>
      <c r="K26" s="11" t="str">
        <f aca="false">IF(J26&gt;=75,"Lower-processed",IF(J26&gt;=45,"Moderately processed","Higher-processed"))</f>
        <v>Lower-processed</v>
      </c>
      <c r="L26" s="11"/>
      <c r="M26" s="12" t="s">
        <v>102</v>
      </c>
    </row>
    <row r="27" customFormat="false" ht="15" hidden="false" customHeight="false" outlineLevel="0" collapsed="false">
      <c r="A27" s="11" t="n">
        <v>26</v>
      </c>
      <c r="B27" s="12" t="s">
        <v>103</v>
      </c>
      <c r="C27" s="11" t="s">
        <v>70</v>
      </c>
      <c r="D27" s="11" t="n">
        <v>4</v>
      </c>
      <c r="E27" s="11" t="s">
        <v>67</v>
      </c>
      <c r="F27" s="12" t="s">
        <v>104</v>
      </c>
      <c r="G27" s="11" t="n">
        <v>20</v>
      </c>
      <c r="H27" s="11" t="n">
        <v>70</v>
      </c>
      <c r="I27" s="11" t="n">
        <v>100</v>
      </c>
      <c r="J27" s="13" t="n">
        <f aca="false">ROUND(Weights!$B$4*G27+Weights!$B$5*H27+Weights!$B$6*I27,0)</f>
        <v>50</v>
      </c>
      <c r="K27" s="11" t="str">
        <f aca="false">IF(J27&gt;=75,"Lower-processed",IF(J27&gt;=45,"Moderately processed","Higher-processed"))</f>
        <v>Moderately processed</v>
      </c>
      <c r="L27" s="11"/>
      <c r="M27" s="12"/>
    </row>
    <row r="28" customFormat="false" ht="23.85" hidden="false" customHeight="false" outlineLevel="0" collapsed="false">
      <c r="A28" s="11" t="n">
        <v>27</v>
      </c>
      <c r="B28" s="14" t="s">
        <v>105</v>
      </c>
      <c r="C28" s="11" t="s">
        <v>70</v>
      </c>
      <c r="D28" s="11" t="n">
        <v>4</v>
      </c>
      <c r="E28" s="11" t="s">
        <v>51</v>
      </c>
      <c r="F28" s="12" t="s">
        <v>106</v>
      </c>
      <c r="G28" s="11" t="n">
        <v>20</v>
      </c>
      <c r="H28" s="11" t="n">
        <v>50</v>
      </c>
      <c r="I28" s="11" t="n">
        <v>88</v>
      </c>
      <c r="J28" s="13" t="n">
        <f aca="false">ROUND(Weights!$B$4*G28+Weights!$B$5*H28+Weights!$B$6*I28,0)</f>
        <v>41</v>
      </c>
      <c r="K28" s="11" t="str">
        <f aca="false">IF(J28&gt;=75,"Lower-processed",IF(J28&gt;=45,"Moderately processed","Higher-processed"))</f>
        <v>Higher-processed</v>
      </c>
      <c r="L28" s="11"/>
      <c r="M28" s="14" t="s">
        <v>107</v>
      </c>
    </row>
    <row r="29" customFormat="false" ht="15" hidden="false" customHeight="false" outlineLevel="0" collapsed="false">
      <c r="A29" s="11" t="n">
        <v>28</v>
      </c>
      <c r="B29" s="12" t="s">
        <v>108</v>
      </c>
      <c r="C29" s="11" t="s">
        <v>70</v>
      </c>
      <c r="D29" s="11" t="n">
        <v>4</v>
      </c>
      <c r="E29" s="11" t="s">
        <v>109</v>
      </c>
      <c r="F29" s="12" t="s">
        <v>104</v>
      </c>
      <c r="G29" s="11" t="n">
        <v>20</v>
      </c>
      <c r="H29" s="11" t="n">
        <v>12</v>
      </c>
      <c r="I29" s="11" t="n">
        <v>100</v>
      </c>
      <c r="J29" s="13" t="n">
        <f aca="false">ROUND(Weights!$B$4*G29+Weights!$B$5*H29+Weights!$B$6*I29,0)</f>
        <v>29</v>
      </c>
      <c r="K29" s="11" t="str">
        <f aca="false">IF(J29&gt;=75,"Lower-processed",IF(J29&gt;=45,"Moderately processed","Higher-processed"))</f>
        <v>Higher-processed</v>
      </c>
      <c r="L29" s="11"/>
      <c r="M29" s="12"/>
    </row>
    <row r="30" customFormat="false" ht="23.85" hidden="false" customHeight="false" outlineLevel="0" collapsed="false">
      <c r="A30" s="11" t="n">
        <v>29</v>
      </c>
      <c r="B30" s="12" t="s">
        <v>110</v>
      </c>
      <c r="C30" s="11" t="s">
        <v>70</v>
      </c>
      <c r="D30" s="11" t="n">
        <v>4</v>
      </c>
      <c r="E30" s="11" t="s">
        <v>109</v>
      </c>
      <c r="F30" s="12" t="s">
        <v>111</v>
      </c>
      <c r="G30" s="11" t="n">
        <v>20</v>
      </c>
      <c r="H30" s="11" t="n">
        <v>12</v>
      </c>
      <c r="I30" s="11" t="n">
        <v>91</v>
      </c>
      <c r="J30" s="13" t="n">
        <f aca="false">ROUND(Weights!$B$4*G30+Weights!$B$5*H30+Weights!$B$6*I30,0)</f>
        <v>28</v>
      </c>
      <c r="K30" s="11" t="str">
        <f aca="false">IF(J30&gt;=75,"Lower-processed",IF(J30&gt;=45,"Moderately processed","Higher-processed"))</f>
        <v>Higher-processed</v>
      </c>
      <c r="L30" s="11"/>
      <c r="M30" s="12"/>
    </row>
    <row r="31" customFormat="false" ht="15" hidden="false" customHeight="false" outlineLevel="0" collapsed="false">
      <c r="A31" s="11" t="n">
        <v>30</v>
      </c>
      <c r="B31" s="12" t="s">
        <v>112</v>
      </c>
      <c r="C31" s="11" t="s">
        <v>70</v>
      </c>
      <c r="D31" s="11" t="n">
        <v>4</v>
      </c>
      <c r="E31" s="11" t="s">
        <v>74</v>
      </c>
      <c r="F31" s="12" t="s">
        <v>113</v>
      </c>
      <c r="G31" s="11" t="n">
        <v>20</v>
      </c>
      <c r="H31" s="11" t="n">
        <v>30</v>
      </c>
      <c r="I31" s="11" t="n">
        <v>94</v>
      </c>
      <c r="J31" s="13" t="n">
        <f aca="false">ROUND(Weights!$B$4*G31+Weights!$B$5*H31+Weights!$B$6*I31,0)</f>
        <v>35</v>
      </c>
      <c r="K31" s="11" t="str">
        <f aca="false">IF(J31&gt;=75,"Lower-processed",IF(J31&gt;=45,"Moderately processed","Higher-processed"))</f>
        <v>Higher-processed</v>
      </c>
      <c r="L31" s="11"/>
      <c r="M31" s="12"/>
    </row>
    <row r="32" customFormat="false" ht="15" hidden="false" customHeight="false" outlineLevel="0" collapsed="false">
      <c r="A32" s="11" t="n">
        <v>31</v>
      </c>
      <c r="B32" s="14" t="s">
        <v>114</v>
      </c>
      <c r="C32" s="11" t="s">
        <v>115</v>
      </c>
      <c r="D32" s="11" t="n">
        <v>4</v>
      </c>
      <c r="E32" s="11" t="s">
        <v>67</v>
      </c>
      <c r="F32" s="12" t="s">
        <v>87</v>
      </c>
      <c r="G32" s="11" t="n">
        <v>20</v>
      </c>
      <c r="H32" s="11" t="n">
        <v>70</v>
      </c>
      <c r="I32" s="11" t="n">
        <v>100</v>
      </c>
      <c r="J32" s="13" t="n">
        <f aca="false">ROUND(Weights!$B$4*G32+Weights!$B$5*H32+Weights!$B$6*I32,0)</f>
        <v>50</v>
      </c>
      <c r="K32" s="11" t="str">
        <f aca="false">IF(J32&gt;=75,"Lower-processed",IF(J32&gt;=45,"Moderately processed","Higher-processed"))</f>
        <v>Moderately processed</v>
      </c>
      <c r="L32" s="11"/>
      <c r="M32" s="14" t="s">
        <v>116</v>
      </c>
    </row>
    <row r="33" customFormat="false" ht="23.85" hidden="false" customHeight="false" outlineLevel="0" collapsed="false">
      <c r="A33" s="11" t="n">
        <v>32</v>
      </c>
      <c r="B33" s="12" t="s">
        <v>117</v>
      </c>
      <c r="C33" s="11" t="s">
        <v>115</v>
      </c>
      <c r="D33" s="11" t="n">
        <v>4</v>
      </c>
      <c r="E33" s="11" t="s">
        <v>109</v>
      </c>
      <c r="F33" s="12" t="s">
        <v>118</v>
      </c>
      <c r="G33" s="11" t="n">
        <v>20</v>
      </c>
      <c r="H33" s="11" t="n">
        <v>12</v>
      </c>
      <c r="I33" s="11" t="n">
        <v>76</v>
      </c>
      <c r="J33" s="13" t="n">
        <f aca="false">ROUND(Weights!$B$4*G33+Weights!$B$5*H33+Weights!$B$6*I33,0)</f>
        <v>26</v>
      </c>
      <c r="K33" s="11" t="str">
        <f aca="false">IF(J33&gt;=75,"Lower-processed",IF(J33&gt;=45,"Moderately processed","Higher-processed"))</f>
        <v>Higher-processed</v>
      </c>
      <c r="L33" s="11"/>
      <c r="M33" s="12" t="s">
        <v>119</v>
      </c>
    </row>
    <row r="34" customFormat="false" ht="15" hidden="false" customHeight="false" outlineLevel="0" collapsed="false">
      <c r="A34" s="11" t="n">
        <v>33</v>
      </c>
      <c r="B34" s="12" t="s">
        <v>120</v>
      </c>
      <c r="C34" s="11" t="s">
        <v>115</v>
      </c>
      <c r="D34" s="11" t="n">
        <v>4</v>
      </c>
      <c r="E34" s="11" t="s">
        <v>51</v>
      </c>
      <c r="F34" s="12" t="s">
        <v>52</v>
      </c>
      <c r="G34" s="11" t="n">
        <v>20</v>
      </c>
      <c r="H34" s="11" t="n">
        <v>50</v>
      </c>
      <c r="I34" s="11" t="n">
        <v>100</v>
      </c>
      <c r="J34" s="13" t="n">
        <f aca="false">ROUND(Weights!$B$4*G34+Weights!$B$5*H34+Weights!$B$6*I34,0)</f>
        <v>43</v>
      </c>
      <c r="K34" s="11" t="str">
        <f aca="false">IF(J34&gt;=75,"Lower-processed",IF(J34&gt;=45,"Moderately processed","Higher-processed"))</f>
        <v>Higher-processed</v>
      </c>
      <c r="L34" s="11"/>
      <c r="M34" s="12"/>
    </row>
    <row r="35" customFormat="false" ht="23.85" hidden="false" customHeight="false" outlineLevel="0" collapsed="false">
      <c r="A35" s="11" t="n">
        <v>34</v>
      </c>
      <c r="B35" s="12" t="s">
        <v>121</v>
      </c>
      <c r="C35" s="11" t="s">
        <v>122</v>
      </c>
      <c r="D35" s="11" t="n">
        <v>4</v>
      </c>
      <c r="E35" s="11" t="s">
        <v>109</v>
      </c>
      <c r="F35" s="12" t="s">
        <v>111</v>
      </c>
      <c r="G35" s="11" t="n">
        <v>20</v>
      </c>
      <c r="H35" s="11" t="n">
        <v>12</v>
      </c>
      <c r="I35" s="11" t="n">
        <v>91</v>
      </c>
      <c r="J35" s="13" t="n">
        <f aca="false">ROUND(Weights!$B$4*G35+Weights!$B$5*H35+Weights!$B$6*I35,0)</f>
        <v>28</v>
      </c>
      <c r="K35" s="11" t="str">
        <f aca="false">IF(J35&gt;=75,"Lower-processed",IF(J35&gt;=45,"Moderately processed","Higher-processed"))</f>
        <v>Higher-processed</v>
      </c>
      <c r="L35" s="11"/>
      <c r="M35" s="12"/>
    </row>
    <row r="36" customFormat="false" ht="15" hidden="false" customHeight="false" outlineLevel="0" collapsed="false">
      <c r="A36" s="11" t="n">
        <v>35</v>
      </c>
      <c r="B36" s="12" t="s">
        <v>123</v>
      </c>
      <c r="C36" s="11" t="s">
        <v>122</v>
      </c>
      <c r="D36" s="11" t="n">
        <v>4</v>
      </c>
      <c r="E36" s="11" t="s">
        <v>74</v>
      </c>
      <c r="F36" s="12" t="s">
        <v>113</v>
      </c>
      <c r="G36" s="11" t="n">
        <v>20</v>
      </c>
      <c r="H36" s="11" t="n">
        <v>30</v>
      </c>
      <c r="I36" s="11" t="n">
        <v>94</v>
      </c>
      <c r="J36" s="13" t="n">
        <f aca="false">ROUND(Weights!$B$4*G36+Weights!$B$5*H36+Weights!$B$6*I36,0)</f>
        <v>35</v>
      </c>
      <c r="K36" s="11" t="str">
        <f aca="false">IF(J36&gt;=75,"Lower-processed",IF(J36&gt;=45,"Moderately processed","Higher-processed"))</f>
        <v>Higher-processed</v>
      </c>
      <c r="L36" s="11"/>
      <c r="M36" s="12"/>
    </row>
    <row r="37" customFormat="false" ht="15" hidden="false" customHeight="false" outlineLevel="0" collapsed="false">
      <c r="A37" s="11" t="n">
        <v>36</v>
      </c>
      <c r="B37" s="12" t="s">
        <v>124</v>
      </c>
      <c r="C37" s="11" t="s">
        <v>122</v>
      </c>
      <c r="D37" s="11" t="n">
        <v>4</v>
      </c>
      <c r="E37" s="11" t="s">
        <v>74</v>
      </c>
      <c r="F37" s="12" t="s">
        <v>125</v>
      </c>
      <c r="G37" s="11" t="n">
        <v>20</v>
      </c>
      <c r="H37" s="11" t="n">
        <v>30</v>
      </c>
      <c r="I37" s="11" t="n">
        <v>94</v>
      </c>
      <c r="J37" s="13" t="n">
        <f aca="false">ROUND(Weights!$B$4*G37+Weights!$B$5*H37+Weights!$B$6*I37,0)</f>
        <v>35</v>
      </c>
      <c r="K37" s="11" t="str">
        <f aca="false">IF(J37&gt;=75,"Lower-processed",IF(J37&gt;=45,"Moderately processed","Higher-processed"))</f>
        <v>Higher-processed</v>
      </c>
      <c r="L37" s="11"/>
      <c r="M37" s="12"/>
    </row>
    <row r="38" customFormat="false" ht="15" hidden="false" customHeight="false" outlineLevel="0" collapsed="false">
      <c r="A38" s="11" t="n">
        <v>37</v>
      </c>
      <c r="B38" s="12" t="s">
        <v>126</v>
      </c>
      <c r="C38" s="11" t="s">
        <v>94</v>
      </c>
      <c r="D38" s="11" t="n">
        <v>4</v>
      </c>
      <c r="E38" s="11" t="s">
        <v>109</v>
      </c>
      <c r="F38" s="12" t="s">
        <v>87</v>
      </c>
      <c r="G38" s="11" t="n">
        <v>20</v>
      </c>
      <c r="H38" s="11" t="n">
        <v>12</v>
      </c>
      <c r="I38" s="11" t="n">
        <v>100</v>
      </c>
      <c r="J38" s="13" t="n">
        <f aca="false">ROUND(Weights!$B$4*G38+Weights!$B$5*H38+Weights!$B$6*I38,0)</f>
        <v>29</v>
      </c>
      <c r="K38" s="11" t="str">
        <f aca="false">IF(J38&gt;=75,"Lower-processed",IF(J38&gt;=45,"Moderately processed","Higher-processed"))</f>
        <v>Higher-processed</v>
      </c>
      <c r="L38" s="11"/>
      <c r="M38" s="12" t="s">
        <v>127</v>
      </c>
    </row>
    <row r="39" customFormat="false" ht="15" hidden="false" customHeight="false" outlineLevel="0" collapsed="false">
      <c r="A39" s="11" t="n">
        <v>38</v>
      </c>
      <c r="B39" s="12" t="s">
        <v>128</v>
      </c>
      <c r="C39" s="11" t="s">
        <v>66</v>
      </c>
      <c r="D39" s="11" t="n">
        <v>4</v>
      </c>
      <c r="E39" s="11" t="s">
        <v>51</v>
      </c>
      <c r="F39" s="12" t="s">
        <v>129</v>
      </c>
      <c r="G39" s="11" t="n">
        <v>20</v>
      </c>
      <c r="H39" s="11" t="n">
        <v>50</v>
      </c>
      <c r="I39" s="11" t="n">
        <v>94</v>
      </c>
      <c r="J39" s="13" t="n">
        <f aca="false">ROUND(Weights!$B$4*G39+Weights!$B$5*H39+Weights!$B$6*I39,0)</f>
        <v>42</v>
      </c>
      <c r="K39" s="11" t="str">
        <f aca="false">IF(J39&gt;=75,"Lower-processed",IF(J39&gt;=45,"Moderately processed","Higher-processed"))</f>
        <v>Higher-processed</v>
      </c>
      <c r="L39" s="11"/>
      <c r="M39" s="12"/>
    </row>
    <row r="40" customFormat="false" ht="15" hidden="false" customHeight="false" outlineLevel="0" collapsed="false">
      <c r="A40" s="11" t="n">
        <v>39</v>
      </c>
      <c r="B40" s="12" t="s">
        <v>130</v>
      </c>
      <c r="C40" s="11" t="s">
        <v>96</v>
      </c>
      <c r="D40" s="11" t="n">
        <v>4</v>
      </c>
      <c r="E40" s="11" t="s">
        <v>51</v>
      </c>
      <c r="F40" s="12" t="s">
        <v>113</v>
      </c>
      <c r="G40" s="11" t="n">
        <v>20</v>
      </c>
      <c r="H40" s="11" t="n">
        <v>50</v>
      </c>
      <c r="I40" s="11" t="n">
        <v>94</v>
      </c>
      <c r="J40" s="13" t="n">
        <f aca="false">ROUND(Weights!$B$4*G40+Weights!$B$5*H40+Weights!$B$6*I40,0)</f>
        <v>42</v>
      </c>
      <c r="K40" s="11" t="str">
        <f aca="false">IF(J40&gt;=75,"Lower-processed",IF(J40&gt;=45,"Moderately processed","Higher-processed"))</f>
        <v>Higher-processed</v>
      </c>
      <c r="L40" s="11"/>
      <c r="M40" s="12"/>
    </row>
    <row r="41" customFormat="false" ht="23.85" hidden="false" customHeight="false" outlineLevel="0" collapsed="false">
      <c r="A41" s="11" t="n">
        <v>40</v>
      </c>
      <c r="B41" s="12" t="s">
        <v>131</v>
      </c>
      <c r="C41" s="11" t="s">
        <v>96</v>
      </c>
      <c r="D41" s="11" t="n">
        <v>4</v>
      </c>
      <c r="E41" s="11" t="s">
        <v>74</v>
      </c>
      <c r="F41" s="12" t="s">
        <v>111</v>
      </c>
      <c r="G41" s="11" t="n">
        <v>20</v>
      </c>
      <c r="H41" s="11" t="n">
        <v>30</v>
      </c>
      <c r="I41" s="11" t="n">
        <v>91</v>
      </c>
      <c r="J41" s="13" t="n">
        <f aca="false">ROUND(Weights!$B$4*G41+Weights!$B$5*H41+Weights!$B$6*I41,0)</f>
        <v>34</v>
      </c>
      <c r="K41" s="11" t="str">
        <f aca="false">IF(J41&gt;=75,"Lower-processed",IF(J41&gt;=45,"Moderately processed","Higher-processed"))</f>
        <v>Higher-processed</v>
      </c>
      <c r="L41" s="11"/>
      <c r="M41" s="12" t="s">
        <v>132</v>
      </c>
    </row>
    <row r="42" customFormat="false" ht="15" hidden="false" customHeight="false" outlineLevel="0" collapsed="false">
      <c r="A42" s="11" t="n">
        <v>41</v>
      </c>
      <c r="B42" s="12" t="s">
        <v>133</v>
      </c>
      <c r="C42" s="11" t="s">
        <v>96</v>
      </c>
      <c r="D42" s="11" t="n">
        <v>4</v>
      </c>
      <c r="E42" s="11" t="s">
        <v>51</v>
      </c>
      <c r="F42" s="12" t="s">
        <v>87</v>
      </c>
      <c r="G42" s="11" t="n">
        <v>20</v>
      </c>
      <c r="H42" s="11" t="n">
        <v>50</v>
      </c>
      <c r="I42" s="11" t="n">
        <v>100</v>
      </c>
      <c r="J42" s="13" t="n">
        <f aca="false">ROUND(Weights!$B$4*G42+Weights!$B$5*H42+Weights!$B$6*I42,0)</f>
        <v>43</v>
      </c>
      <c r="K42" s="11" t="str">
        <f aca="false">IF(J42&gt;=75,"Lower-processed",IF(J42&gt;=45,"Moderately processed","Higher-processed"))</f>
        <v>Higher-processed</v>
      </c>
      <c r="L42" s="11"/>
      <c r="M42" s="12"/>
    </row>
    <row r="43" customFormat="false" ht="15" hidden="false" customHeight="false" outlineLevel="0" collapsed="false">
      <c r="A43" s="11" t="n">
        <v>42</v>
      </c>
      <c r="B43" s="12" t="s">
        <v>134</v>
      </c>
      <c r="C43" s="11" t="s">
        <v>91</v>
      </c>
      <c r="D43" s="11" t="n">
        <v>4</v>
      </c>
      <c r="E43" s="11" t="s">
        <v>51</v>
      </c>
      <c r="F43" s="12" t="s">
        <v>104</v>
      </c>
      <c r="G43" s="11" t="n">
        <v>20</v>
      </c>
      <c r="H43" s="11" t="n">
        <v>50</v>
      </c>
      <c r="I43" s="11" t="n">
        <v>100</v>
      </c>
      <c r="J43" s="13" t="n">
        <f aca="false">ROUND(Weights!$B$4*G43+Weights!$B$5*H43+Weights!$B$6*I43,0)</f>
        <v>43</v>
      </c>
      <c r="K43" s="11" t="str">
        <f aca="false">IF(J43&gt;=75,"Lower-processed",IF(J43&gt;=45,"Moderately processed","Higher-processed"))</f>
        <v>Higher-processed</v>
      </c>
      <c r="L43" s="11"/>
      <c r="M43" s="12"/>
    </row>
    <row r="44" customFormat="false" ht="15" hidden="false" customHeight="false" outlineLevel="0" collapsed="false">
      <c r="A44" s="11" t="n">
        <v>43</v>
      </c>
      <c r="B44" s="12" t="s">
        <v>135</v>
      </c>
      <c r="C44" s="11" t="s">
        <v>136</v>
      </c>
      <c r="D44" s="11" t="n">
        <v>4</v>
      </c>
      <c r="E44" s="11" t="s">
        <v>74</v>
      </c>
      <c r="F44" s="12" t="s">
        <v>104</v>
      </c>
      <c r="G44" s="11" t="n">
        <v>20</v>
      </c>
      <c r="H44" s="11" t="n">
        <v>30</v>
      </c>
      <c r="I44" s="11" t="n">
        <v>100</v>
      </c>
      <c r="J44" s="13" t="n">
        <f aca="false">ROUND(Weights!$B$4*G44+Weights!$B$5*H44+Weights!$B$6*I44,0)</f>
        <v>36</v>
      </c>
      <c r="K44" s="11" t="str">
        <f aca="false">IF(J44&gt;=75,"Lower-processed",IF(J44&gt;=45,"Moderately processed","Higher-processed"))</f>
        <v>Higher-processed</v>
      </c>
      <c r="L44" s="11"/>
      <c r="M44" s="12"/>
    </row>
    <row r="45" customFormat="false" ht="23.85" hidden="false" customHeight="false" outlineLevel="0" collapsed="false">
      <c r="A45" s="11" t="n">
        <v>44</v>
      </c>
      <c r="B45" s="14" t="s">
        <v>137</v>
      </c>
      <c r="C45" s="11" t="s">
        <v>138</v>
      </c>
      <c r="D45" s="11" t="n">
        <v>4</v>
      </c>
      <c r="E45" s="11" t="s">
        <v>74</v>
      </c>
      <c r="F45" s="12" t="s">
        <v>139</v>
      </c>
      <c r="G45" s="11" t="n">
        <v>20</v>
      </c>
      <c r="H45" s="11" t="n">
        <v>30</v>
      </c>
      <c r="I45" s="11" t="n">
        <v>79</v>
      </c>
      <c r="J45" s="13" t="n">
        <f aca="false">ROUND(Weights!$B$4*G45+Weights!$B$5*H45+Weights!$B$6*I45,0)</f>
        <v>32</v>
      </c>
      <c r="K45" s="11" t="str">
        <f aca="false">IF(J45&gt;=75,"Lower-processed",IF(J45&gt;=45,"Moderately processed","Higher-processed"))</f>
        <v>Higher-processed</v>
      </c>
      <c r="L45" s="11"/>
      <c r="M45" s="14" t="s">
        <v>140</v>
      </c>
    </row>
    <row r="46" customFormat="false" ht="15" hidden="false" customHeight="false" outlineLevel="0" collapsed="false">
      <c r="A46" s="11" t="n">
        <v>45</v>
      </c>
      <c r="B46" s="12" t="s">
        <v>141</v>
      </c>
      <c r="C46" s="11" t="s">
        <v>138</v>
      </c>
      <c r="D46" s="11" t="n">
        <v>4</v>
      </c>
      <c r="E46" s="11" t="s">
        <v>109</v>
      </c>
      <c r="F46" s="12" t="s">
        <v>142</v>
      </c>
      <c r="G46" s="11" t="n">
        <v>20</v>
      </c>
      <c r="H46" s="11" t="n">
        <v>12</v>
      </c>
      <c r="I46" s="11" t="n">
        <v>85</v>
      </c>
      <c r="J46" s="13" t="n">
        <f aca="false">ROUND(Weights!$B$4*G46+Weights!$B$5*H46+Weights!$B$6*I46,0)</f>
        <v>27</v>
      </c>
      <c r="K46" s="11" t="str">
        <f aca="false">IF(J46&gt;=75,"Lower-processed",IF(J46&gt;=45,"Moderately processed","Higher-processed"))</f>
        <v>Higher-processed</v>
      </c>
      <c r="L46" s="11"/>
      <c r="M46" s="12" t="s">
        <v>143</v>
      </c>
    </row>
    <row r="47" customFormat="false" ht="15" hidden="false" customHeight="false" outlineLevel="0" collapsed="false">
      <c r="A47" s="11" t="n">
        <v>46</v>
      </c>
      <c r="B47" s="12" t="s">
        <v>144</v>
      </c>
      <c r="C47" s="11" t="s">
        <v>138</v>
      </c>
      <c r="D47" s="11" t="n">
        <v>4</v>
      </c>
      <c r="E47" s="11" t="s">
        <v>74</v>
      </c>
      <c r="F47" s="12" t="s">
        <v>113</v>
      </c>
      <c r="G47" s="11" t="n">
        <v>20</v>
      </c>
      <c r="H47" s="11" t="n">
        <v>30</v>
      </c>
      <c r="I47" s="11" t="n">
        <v>94</v>
      </c>
      <c r="J47" s="13" t="n">
        <f aca="false">ROUND(Weights!$B$4*G47+Weights!$B$5*H47+Weights!$B$6*I47,0)</f>
        <v>35</v>
      </c>
      <c r="K47" s="11" t="str">
        <f aca="false">IF(J47&gt;=75,"Lower-processed",IF(J47&gt;=45,"Moderately processed","Higher-processed"))</f>
        <v>Higher-processed</v>
      </c>
      <c r="L47" s="11"/>
      <c r="M47" s="12"/>
    </row>
    <row r="48" customFormat="false" ht="15" hidden="false" customHeight="false" outlineLevel="0" collapsed="false">
      <c r="A48" s="11" t="n">
        <v>47</v>
      </c>
      <c r="B48" s="12" t="s">
        <v>145</v>
      </c>
      <c r="C48" s="11" t="s">
        <v>78</v>
      </c>
      <c r="D48" s="11" t="n">
        <v>4</v>
      </c>
      <c r="E48" s="11" t="s">
        <v>51</v>
      </c>
      <c r="F48" s="12" t="s">
        <v>87</v>
      </c>
      <c r="G48" s="11" t="n">
        <v>20</v>
      </c>
      <c r="H48" s="11" t="n">
        <v>50</v>
      </c>
      <c r="I48" s="11" t="n">
        <v>100</v>
      </c>
      <c r="J48" s="13" t="n">
        <f aca="false">ROUND(Weights!$B$4*G48+Weights!$B$5*H48+Weights!$B$6*I48,0)</f>
        <v>43</v>
      </c>
      <c r="K48" s="11" t="str">
        <f aca="false">IF(J48&gt;=75,"Lower-processed",IF(J48&gt;=45,"Moderately processed","Higher-processed"))</f>
        <v>Higher-processed</v>
      </c>
      <c r="L48" s="11"/>
      <c r="M48" s="12"/>
    </row>
    <row r="49" customFormat="false" ht="15" hidden="false" customHeight="false" outlineLevel="0" collapsed="false">
      <c r="A49" s="11" t="n">
        <v>48</v>
      </c>
      <c r="B49" s="12" t="s">
        <v>146</v>
      </c>
      <c r="C49" s="11" t="s">
        <v>147</v>
      </c>
      <c r="D49" s="11" t="n">
        <v>3</v>
      </c>
      <c r="E49" s="11" t="s">
        <v>56</v>
      </c>
      <c r="F49" s="12" t="s">
        <v>52</v>
      </c>
      <c r="G49" s="11" t="n">
        <v>55</v>
      </c>
      <c r="H49" s="11" t="n">
        <v>90</v>
      </c>
      <c r="I49" s="11" t="n">
        <v>100</v>
      </c>
      <c r="J49" s="13" t="n">
        <f aca="false">ROUND(Weights!$B$4*G49+Weights!$B$5*H49+Weights!$B$6*I49,0)</f>
        <v>74</v>
      </c>
      <c r="K49" s="11" t="str">
        <f aca="false">IF(J49&gt;=75,"Lower-processed",IF(J49&gt;=45,"Moderately processed","Higher-processed"))</f>
        <v>Moderately processed</v>
      </c>
      <c r="L49" s="11"/>
      <c r="M49" s="12"/>
    </row>
    <row r="50" customFormat="false" ht="15" hidden="false" customHeight="false" outlineLevel="0" collapsed="false">
      <c r="A50" s="11" t="n">
        <v>49</v>
      </c>
      <c r="B50" s="12" t="s">
        <v>148</v>
      </c>
      <c r="C50" s="11" t="s">
        <v>80</v>
      </c>
      <c r="D50" s="11" t="n">
        <v>4</v>
      </c>
      <c r="E50" s="11" t="s">
        <v>51</v>
      </c>
      <c r="F50" s="12" t="s">
        <v>104</v>
      </c>
      <c r="G50" s="11" t="n">
        <v>20</v>
      </c>
      <c r="H50" s="11" t="n">
        <v>50</v>
      </c>
      <c r="I50" s="11" t="n">
        <v>100</v>
      </c>
      <c r="J50" s="13" t="n">
        <f aca="false">ROUND(Weights!$B$4*G50+Weights!$B$5*H50+Weights!$B$6*I50,0)</f>
        <v>43</v>
      </c>
      <c r="K50" s="11" t="str">
        <f aca="false">IF(J50&gt;=75,"Lower-processed",IF(J50&gt;=45,"Moderately processed","Higher-processed"))</f>
        <v>Higher-processed</v>
      </c>
      <c r="L50" s="11"/>
      <c r="M50" s="12"/>
    </row>
    <row r="51" customFormat="false" ht="15" hidden="false" customHeight="false" outlineLevel="0" collapsed="false">
      <c r="A51" s="11" t="n">
        <v>50</v>
      </c>
      <c r="B51" s="12" t="s">
        <v>149</v>
      </c>
      <c r="C51" s="11" t="s">
        <v>89</v>
      </c>
      <c r="D51" s="11" t="n">
        <v>3</v>
      </c>
      <c r="E51" s="11" t="s">
        <v>56</v>
      </c>
      <c r="F51" s="12" t="s">
        <v>52</v>
      </c>
      <c r="G51" s="11" t="n">
        <v>55</v>
      </c>
      <c r="H51" s="11" t="n">
        <v>90</v>
      </c>
      <c r="I51" s="11" t="n">
        <v>100</v>
      </c>
      <c r="J51" s="13" t="n">
        <f aca="false">ROUND(Weights!$B$4*G51+Weights!$B$5*H51+Weights!$B$6*I51,0)</f>
        <v>74</v>
      </c>
      <c r="K51" s="11" t="str">
        <f aca="false">IF(J51&gt;=75,"Lower-processed",IF(J51&gt;=45,"Moderately processed","Higher-processed"))</f>
        <v>Moderately processed</v>
      </c>
      <c r="L51" s="11"/>
      <c r="M51" s="12"/>
    </row>
  </sheetData>
  <conditionalFormatting sqref="J2:J51">
    <cfRule type="cellIs" priority="2" operator="greaterThanOrEqual" aboveAverage="0" equalAverage="0" bottom="0" percent="0" rank="0" text="" dxfId="0">
      <formula>75</formula>
    </cfRule>
    <cfRule type="cellIs" priority="3" operator="between" aboveAverage="0" equalAverage="0" bottom="0" percent="0" rank="0" text="" dxfId="1">
      <formula>45</formula>
      <formula>74</formula>
    </cfRule>
    <cfRule type="cellIs" priority="4" operator="lessThan" aboveAverage="0" equalAverage="0" bottom="0" percent="0" rank="0" text="" dxfId="2">
      <formula>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2026-07-06T17:50:45Z</dcterms:created>
  <dc:creator>openpyxl</dc:creator>
  <dc:description/>
  <dc:language>en-US</dc:language>
  <cp:lastModifiedBy/>
  <dcterms:modified xsi:type="dcterms:W3CDTF">2026-07-06T17:50:45Z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